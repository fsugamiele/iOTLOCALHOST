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CORE" sheetId="1" state="visible" r:id="rId3"/>
    <sheet name="Notas y decis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<sst xmlns="http://schemas.openxmlformats.org/spreadsheetml/2006/main" count="284" uniqueCount="169">
  <si>
    <t xml:space="preserve">wanomi — BOM  ·  WN-SITE-CORE</t>
  </si>
  <si>
    <t xml:space="preserve">Núcleo de sitio telco — monitoreo (Modo Connect + Sense)  ·  MCU ESP32-S3  ·  Alimentación -48 VDC planta  ·  feature/telco-support  ·  Sesión #10 — 2026-05-23</t>
  </si>
  <si>
    <t xml:space="preserve">Ref</t>
  </si>
  <si>
    <t xml:space="preserve">Bloque</t>
  </si>
  <si>
    <t xml:space="preserve">Componente</t>
  </si>
  <si>
    <t xml:space="preserve">Especificación</t>
  </si>
  <si>
    <t xml:space="preserve">Cant.</t>
  </si>
  <si>
    <t xml:space="preserve">Fuente</t>
  </si>
  <si>
    <t xml:space="preserve">USD/u</t>
  </si>
  <si>
    <t xml:space="preserve">Subtotal</t>
  </si>
  <si>
    <t xml:space="preserve">Clase</t>
  </si>
  <si>
    <t xml:space="preserve">Notas / source</t>
  </si>
  <si>
    <t xml:space="preserve">MCU/Núcleo</t>
  </si>
  <si>
    <t xml:space="preserve">ESP32-S3-WROOM-1 N16R8</t>
  </si>
  <si>
    <t xml:space="preserve">SoC WiFi/BT, 16MB flash, 8MB PSRAM</t>
  </si>
  <si>
    <t xml:space="preserve">Mouser/AliExpress</t>
  </si>
  <si>
    <t xml:space="preserve">Placa</t>
  </si>
  <si>
    <t xml:space="preserve">Reemplaza ESP8266 por nº de periféricos</t>
  </si>
  <si>
    <t xml:space="preserve">Conector USB-C breakout</t>
  </si>
  <si>
    <t xml:space="preserve">Prog/debug, 5V+datos</t>
  </si>
  <si>
    <t xml:space="preserve">MercadoLibre AR</t>
  </si>
  <si>
    <t xml:space="preserve">Pulsadores RESET/BOOT</t>
  </si>
  <si>
    <t xml:space="preserve">SMD</t>
  </si>
  <si>
    <t xml:space="preserve">Local</t>
  </si>
  <si>
    <t xml:space="preserve">LED RGB estado</t>
  </si>
  <si>
    <t xml:space="preserve">Cátodo común</t>
  </si>
  <si>
    <t xml:space="preserve">Verde OK / ámbar adv / rojo crítico</t>
  </si>
  <si>
    <t xml:space="preserve">Alimentación</t>
  </si>
  <si>
    <t xml:space="preserve">DC-DC aislado 18-75V→5V</t>
  </si>
  <si>
    <t xml:space="preserve">≥10W, aisl. ≥1.5kV (Mornsun URB4805YMD o equiv.)</t>
  </si>
  <si>
    <t xml:space="preserve">Mouser</t>
  </si>
  <si>
    <t xml:space="preserve">Primario -48V planta; 12/24V por DNP</t>
  </si>
  <si>
    <t xml:space="preserve">Buck 5V→3V3</t>
  </si>
  <si>
    <t xml:space="preserve">MP2315/TPS563201, 3A</t>
  </si>
  <si>
    <t xml:space="preserve">AliExpress</t>
  </si>
  <si>
    <t xml:space="preserve">Headroom térmico vs AMS1117</t>
  </si>
  <si>
    <t xml:space="preserve">Supercap hold-up</t>
  </si>
  <si>
    <t xml:space="preserve">2×2.7V 1F + balanceo + ideal-diode</t>
  </si>
  <si>
    <t xml:space="preserve">Último aviso si cae planta -48V</t>
  </si>
  <si>
    <t xml:space="preserve">Fusible 1A + portafusible</t>
  </si>
  <si>
    <t xml:space="preserve">TVS SMBJ58A</t>
  </si>
  <si>
    <t xml:space="preserve">Clamp ~93V</t>
  </si>
  <si>
    <t xml:space="preserve">Protección entrada DC</t>
  </si>
  <si>
    <t xml:space="preserve">MOSFET P reverse-pol.</t>
  </si>
  <si>
    <t xml:space="preserve">DMP3098 o equiv.</t>
  </si>
  <si>
    <t xml:space="preserve">Filtro EMI entrada</t>
  </si>
  <si>
    <t xml:space="preserve">Choke modo común + caps X/Y</t>
  </si>
  <si>
    <t xml:space="preserve">EMC entorno torre</t>
  </si>
  <si>
    <t xml:space="preserve">Comunicaciones</t>
  </si>
  <si>
    <t xml:space="preserve">RS-485 aislado</t>
  </si>
  <si>
    <t xml:space="preserve">ADM2483BRWZ</t>
  </si>
  <si>
    <t xml:space="preserve">Modbus genset/ATS/rectif (multidrop)</t>
  </si>
  <si>
    <t xml:space="preserve">Protección RS-485</t>
  </si>
  <si>
    <t xml:space="preserve">TVS array SM712 + GDT</t>
  </si>
  <si>
    <t xml:space="preserve">Línea sale del enclosure → surge</t>
  </si>
  <si>
    <t xml:space="preserve">W5500 Ethernet</t>
  </si>
  <si>
    <t xml:space="preserve">Controlador SPI 10/100</t>
  </si>
  <si>
    <t xml:space="preserve">S3 sin MAC nativa</t>
  </si>
  <si>
    <t xml:space="preserve">RJ45 MagJack</t>
  </si>
  <si>
    <t xml:space="preserve">Magnetics integrados</t>
  </si>
  <si>
    <t xml:space="preserve">Protección Ethernet</t>
  </si>
  <si>
    <t xml:space="preserve">TVS array</t>
  </si>
  <si>
    <t xml:space="preserve">Módulo LoRa SX1276</t>
  </si>
  <si>
    <t xml:space="preserve">433/915MHz SPI</t>
  </si>
  <si>
    <t xml:space="preserve">DNP</t>
  </si>
  <si>
    <t xml:space="preserve">Expansión esclavos (DEC-HW-1)</t>
  </si>
  <si>
    <t xml:space="preserve">Antena WiFi/LoRa</t>
  </si>
  <si>
    <t xml:space="preserve">IPEX→SMA + antena</t>
  </si>
  <si>
    <t xml:space="preserve">Adquisición</t>
  </si>
  <si>
    <t xml:space="preserve">ADS1115</t>
  </si>
  <si>
    <t xml:space="preserve">ADC 16-bit 4ch I²C</t>
  </si>
  <si>
    <t xml:space="preserve">Clamps + combustible; exactitud forense</t>
  </si>
  <si>
    <t xml:space="preserve">SHT31</t>
  </si>
  <si>
    <t xml:space="preserve">Temp ±0.3°C / HR ±2%, I²C</t>
  </si>
  <si>
    <t xml:space="preserve">Clima shelter — physical</t>
  </si>
  <si>
    <t xml:space="preserve">SDP810-500Pa</t>
  </si>
  <si>
    <t xml:space="preserve">Presión dif. Sensirion, I²C</t>
  </si>
  <si>
    <t xml:space="preserve">Flujo aire/filtros A/C — evaluar por sitio</t>
  </si>
  <si>
    <t xml:space="preserve">Front-end clamps</t>
  </si>
  <si>
    <t xml:space="preserve">R burden 0.1% + bias + caps</t>
  </si>
  <si>
    <t xml:space="preserve">Para CT externos</t>
  </si>
  <si>
    <t xml:space="preserve">Front-end 4-20mA</t>
  </si>
  <si>
    <t xml:space="preserve">R sense 150Ω 0.1% + protección</t>
  </si>
  <si>
    <t xml:space="preserve">Para sonda combustible</t>
  </si>
  <si>
    <t xml:space="preserve">Entradas dig.</t>
  </si>
  <si>
    <t xml:space="preserve">Optoacopladores</t>
  </si>
  <si>
    <t xml:space="preserve">2× quad TLP281-4 (8 canales)</t>
  </si>
  <si>
    <t xml:space="preserve">Puerta/PIR/red/humo/contactos genset</t>
  </si>
  <si>
    <t xml:space="preserve">Red entrada + TVS</t>
  </si>
  <si>
    <t xml:space="preserve">R serie + TVS por canal</t>
  </si>
  <si>
    <t xml:space="preserve">Salidas (reserv.)</t>
  </si>
  <si>
    <t xml:space="preserve">Relé + driver / MOSFET</t>
  </si>
  <si>
    <t xml:space="preserve">2× sirena/estrobo/lock</t>
  </si>
  <si>
    <t xml:space="preserve">Pata acción física — footprint sin poblar</t>
  </si>
  <si>
    <t xml:space="preserve">Tiempo/Forense</t>
  </si>
  <si>
    <t xml:space="preserve">RTC DS3231</t>
  </si>
  <si>
    <t xml:space="preserve">TCXO, I²C, alta precisión</t>
  </si>
  <si>
    <t xml:space="preserve">Timestamp forense sin red/NTP</t>
  </si>
  <si>
    <t xml:space="preserve">CR2032 + portapilas</t>
  </si>
  <si>
    <t xml:space="preserve">Backup RTC</t>
  </si>
  <si>
    <t xml:space="preserve">Borneras</t>
  </si>
  <si>
    <t xml:space="preserve">Bornera enchuf. 2P 5.08mm</t>
  </si>
  <si>
    <t xml:space="preserve">Entrada -48VDC</t>
  </si>
  <si>
    <t xml:space="preserve">Bornera 3P 3.5mm</t>
  </si>
  <si>
    <t xml:space="preserve">RS-485 A/B/GND</t>
  </si>
  <si>
    <t xml:space="preserve">Bornera 4P</t>
  </si>
  <si>
    <t xml:space="preserve">Clamps de corriente</t>
  </si>
  <si>
    <t xml:space="preserve">Bornera 3P</t>
  </si>
  <si>
    <t xml:space="preserve">4-20mA combustible</t>
  </si>
  <si>
    <t xml:space="preserve">Bornera 8P</t>
  </si>
  <si>
    <t xml:space="preserve">Entradas digitales de campo</t>
  </si>
  <si>
    <t xml:space="preserve">Salidas reservadas</t>
  </si>
  <si>
    <t xml:space="preserve">Headers expansión</t>
  </si>
  <si>
    <t xml:space="preserve">Prog + esclavos</t>
  </si>
  <si>
    <t xml:space="preserve">PCB/Mecánica</t>
  </si>
  <si>
    <t xml:space="preserve">PCB custom 4 capas</t>
  </si>
  <si>
    <t xml:space="preserve">~120×90mm, ENIG, barrera aislación, lote 50</t>
  </si>
  <si>
    <t xml:space="preserve">JLCPCB</t>
  </si>
  <si>
    <t xml:space="preserve">4 capas: EMC + barrera -48V/campo</t>
  </si>
  <si>
    <t xml:space="preserve">Enclosure DIN-rail</t>
  </si>
  <si>
    <t xml:space="preserve">PC/ABS modular, riel 35mm</t>
  </si>
  <si>
    <t xml:space="preserve">Montaje en bastidor de sitio</t>
  </si>
  <si>
    <t xml:space="preserve">Disipador DC-DC</t>
  </si>
  <si>
    <t xml:space="preserve">Bajo perfil</t>
  </si>
  <si>
    <t xml:space="preserve">Tornillería/standoffs</t>
  </si>
  <si>
    <t xml:space="preserve">M3 inox + nylon</t>
  </si>
  <si>
    <t xml:space="preserve">Ferretería</t>
  </si>
  <si>
    <t xml:space="preserve">Pasivos</t>
  </si>
  <si>
    <t xml:space="preserve">Pasivos surtidos</t>
  </si>
  <si>
    <t xml:space="preserve">Desacople 100nF/CI, pull-ups I²C, R/C, ferritas</t>
  </si>
  <si>
    <t xml:space="preserve">Campo</t>
  </si>
  <si>
    <t xml:space="preserve">CT split-core SCT-013-000</t>
  </si>
  <si>
    <t xml:space="preserve">100A:50mA, abraza fase</t>
  </si>
  <si>
    <t xml:space="preserve">Corriente red + genset — physical</t>
  </si>
  <si>
    <t xml:space="preserve">Sonda hidrostática nivel</t>
  </si>
  <si>
    <t xml:space="preserve">4-20mA, combustible, sumergible</t>
  </si>
  <si>
    <t xml:space="preserve">Importado</t>
  </si>
  <si>
    <t xml:space="preserve">FORENSE — sender de fábrica miente (CR00058)</t>
  </si>
  <si>
    <t xml:space="preserve">Reed puerta</t>
  </si>
  <si>
    <t xml:space="preserve">NC, montaje superficie</t>
  </si>
  <si>
    <t xml:space="preserve">FORENSE — apertura</t>
  </si>
  <si>
    <t xml:space="preserve">PIR</t>
  </si>
  <si>
    <t xml:space="preserve">Movimiento interior</t>
  </si>
  <si>
    <t xml:space="preserve">Detector de humo</t>
  </si>
  <si>
    <t xml:space="preserve">Salida contacto seco</t>
  </si>
  <si>
    <t xml:space="preserve">Opcional según sitio</t>
  </si>
  <si>
    <t xml:space="preserve">Total CORE — poblado en placa (1ª instancia)</t>
  </si>
  <si>
    <t xml:space="preserve">Sensores de campo (externos a la placa)</t>
  </si>
  <si>
    <t xml:space="preserve">Footprints reservados (DNP — no poblado)</t>
  </si>
  <si>
    <t xml:space="preserve">TOTAL BOM kit completo (placa + campo)</t>
  </si>
  <si>
    <t xml:space="preserve">Referencia de PVP (no es parte del BOM): con margen objetivo 60% sobre placa poblada, el WN-SITE-CORE se ubica en el rango ~$220–280 USD/u — coherente con un núcleo enterprise de sitio, no con los dispositivos de catálogo comercial ($45–105).</t>
  </si>
  <si>
    <t xml:space="preserve">Wanomi — WN-SITE-CORE · Notas de ingeniería (Área 3)</t>
  </si>
  <si>
    <t xml:space="preserve">Decisiones de diseño aprobadas (sesión #10):</t>
  </si>
  <si>
    <t xml:space="preserve">• Rol frente al genset: SOLO MONITOREAR (Modo Connect, Modbus RS-485 read-only). No se actúa sobre arranque/combustible/transferencia. No interfiere con O&amp;M de Claro.</t>
  </si>
  <si>
    <t xml:space="preserve">• Alimentación: -48 VDC de planta como primario, vía DC-DC aislado de entrada amplia (18–75 V) + protección + supercap de hold-up. No 220 VAC (es lo que falla) ni batería de arranque del genset.</t>
  </si>
  <si>
    <t xml:space="preserve">• MCU: ESP32-S3 (no ESP8266) por cantidad de periféricos. Ethernet vía W5500 (SPI) porque el S3 no tiene MAC nativa. WiFi como respaldo.</t>
  </si>
  <si>
    <t xml:space="preserve">• Clamps de corriente vía ADS1115 (16-bit I²C) en vez del ADC crudo del S3 — exactitud requerida para variable forense (DEC-FORENSIC-2).</t>
  </si>
  <si>
    <t xml:space="preserve">• RTC DS3231 con backup: timestamp forense confiable aunque el sitio quede sin red ni NTP.</t>
  </si>
  <si>
    <t xml:space="preserve">• Aislación: toda entrada de campo optoaislada, RS-485 aislado, TVS/GDT en líneas que salen del enclosure (EMC + rayos, entorno torre).</t>
  </si>
  <si>
    <t xml:space="preserve">Clasificación de líneas:</t>
  </si>
  <si>
    <t xml:space="preserve">• Placa = poblado en esta primera instancia (monitoreo).</t>
  </si>
  <si>
    <t xml:space="preserve">• Campo = sensor externo instalado en sitio (no va en la placa, sí en el kit).</t>
  </si>
  <si>
    <t xml:space="preserve">• DNP = footprint reservado en la PCB, sin poblar (pata de acción física y expansión LoRa, fuera de scope ahora).</t>
  </si>
  <si>
    <t xml:space="preserve">RIESGOS / pendientes a confirmar en el survey del piloto (D-H abierto):</t>
  </si>
  <si>
    <t xml:space="preserve">• RISK — Bus Modbus del genset: si el NOC de Claro ya es máster del controlador, no se puede agregar un 2º máster en el mismo RS-485. Verificar por sitio (sniffing pasivo / contactos secos como alternativa).</t>
  </si>
  <si>
    <t xml:space="preserve">• Confirmar rectificador y ATS por sitio (protocolo y si exponen Modbus).</t>
  </si>
  <si>
    <t xml:space="preserve">• SDP810 (presión diferencial A/C): evaluar si se puebla por sitio — es el ítem más caro de la placa ($22).</t>
  </si>
  <si>
    <t xml:space="preserve">• Sonda de combustible: validar rango/conexión 4-20mA del modelo elegido en el primer sitio.</t>
  </si>
  <si>
    <t xml:space="preserve">Costos: referencia en USD, sourcing AR (MercadoLibre/AliExpress) + especialidad (Mouser) + PCB JLCPCB lote 50. Precios indicativos a validar con cotización del proveedor.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</si>
</sst>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E84040"/>
      <name val="Arial"/>
      <family val="0"/>
      <charset val="1"/>
    </font>
    <font>
      <b val="true"/>
      <sz val="9"/>
      <color rgb="FFF0A5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777777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41412"/>
        <bgColor rgb="FF000000"/>
      </patternFill>
    </fill>
    <fill>
      <patternFill patternType="solid">
        <fgColor rgb="FF19C98A"/>
        <bgColor rgb="FF00CCFF"/>
      </patternFill>
    </fill>
    <fill>
      <patternFill patternType="solid">
        <fgColor rgb="FFE8EEF0"/>
        <bgColor rgb="FFE9F0F6"/>
      </patternFill>
    </fill>
    <fill>
      <patternFill patternType="solid">
        <fgColor rgb="FFFBEFD6"/>
        <bgColor rgb="FFFDF3E0"/>
      </patternFill>
    </fill>
    <fill>
      <patternFill patternType="solid">
        <fgColor rgb="FFE6F6EF"/>
        <bgColor rgb="FFE9F0F6"/>
      </patternFill>
    </fill>
    <fill>
      <patternFill patternType="solid">
        <fgColor rgb="FFEEF3E6"/>
        <bgColor rgb="FFF2F0EA"/>
      </patternFill>
    </fill>
    <fill>
      <patternFill patternType="solid">
        <fgColor rgb="FFF0ECF6"/>
        <bgColor rgb="FFECECEC"/>
      </patternFill>
    </fill>
    <fill>
      <patternFill patternType="solid">
        <fgColor rgb="FFF6E9E9"/>
        <bgColor rgb="FFF2F0EA"/>
      </patternFill>
    </fill>
    <fill>
      <patternFill patternType="solid">
        <fgColor rgb="FFE9F0F6"/>
        <bgColor rgb="FFE8EEF0"/>
      </patternFill>
    </fill>
    <fill>
      <patternFill patternType="solid">
        <fgColor rgb="FFF2F0EA"/>
        <bgColor rgb="FFF2F2F2"/>
      </patternFill>
    </fill>
    <fill>
      <patternFill patternType="solid">
        <fgColor rgb="FFECECEC"/>
        <bgColor rgb="FFE8EEF0"/>
      </patternFill>
    </fill>
    <fill>
      <patternFill patternType="solid">
        <fgColor rgb="FFF2F2F2"/>
        <bgColor rgb="FFF2F0EA"/>
      </patternFill>
    </fill>
    <fill>
      <patternFill patternType="solid">
        <fgColor rgb="FFFDF3E0"/>
        <bgColor rgb="FFFBEFD6"/>
      </patternFill>
    </fill>
    <fill>
      <patternFill patternType="solid">
        <fgColor rgb="FFF0A5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5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1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1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DF3E0"/>
      <rgbColor rgb="FFE6F6EF"/>
      <rgbColor rgb="FF660066"/>
      <rgbColor rgb="FFFF8080"/>
      <rgbColor rgb="FF0066CC"/>
      <rgbColor rgb="FFE8EE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0F6"/>
      <rgbColor rgb="FFEEF3E6"/>
      <rgbColor rgb="FFFBEFD6"/>
      <rgbColor rgb="FFECECEC"/>
      <rgbColor rgb="FFF0ECF6"/>
      <rgbColor rgb="FFF2F0EA"/>
      <rgbColor rgb="FFF6E9E9"/>
      <rgbColor rgb="FF3366FF"/>
      <rgbColor rgb="FF19C98A"/>
      <rgbColor rgb="FF99CC00"/>
      <rgbColor rgb="FFFFCC00"/>
      <rgbColor rgb="FFF0A500"/>
      <rgbColor rgb="FFE84040"/>
      <rgbColor rgb="FF555555"/>
      <rgbColor rgb="FF969696"/>
      <rgbColor rgb="FF003366"/>
      <rgbColor rgb="FF339966"/>
      <rgbColor rgb="FF14141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6"/>
    <col collapsed="false" customWidth="true" hidden="false" outlineLevel="0" max="6" min="6" style="0" width="17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5" t="s">
        <v>12</v>
      </c>
      <c r="C5" s="5" t="s">
        <v>13</v>
      </c>
      <c r="D5" s="6" t="s">
        <v>14</v>
      </c>
      <c r="E5" s="4" t="n">
        <v>1</v>
      </c>
      <c r="F5" s="5" t="s">
        <v>15</v>
      </c>
      <c r="G5" s="7" t="n">
        <v>4.5</v>
      </c>
      <c r="H5" s="7" t="n">
        <f aca="false">E5*G5</f>
        <v>4.5</v>
      </c>
      <c r="I5" s="5" t="s">
        <v>16</v>
      </c>
      <c r="J5" s="6" t="s">
        <v>17</v>
      </c>
    </row>
    <row r="6" customFormat="false" ht="15" hidden="false" customHeight="false" outlineLevel="0" collapsed="false">
      <c r="A6" s="4" t="n">
        <v>2</v>
      </c>
      <c r="B6" s="5" t="s">
        <v>12</v>
      </c>
      <c r="C6" s="5" t="s">
        <v>18</v>
      </c>
      <c r="D6" s="6" t="s">
        <v>19</v>
      </c>
      <c r="E6" s="4" t="n">
        <v>1</v>
      </c>
      <c r="F6" s="5" t="s">
        <v>20</v>
      </c>
      <c r="G6" s="7" t="n">
        <v>0.8</v>
      </c>
      <c r="H6" s="7" t="n">
        <f aca="false">E6*G6</f>
        <v>0.8</v>
      </c>
      <c r="I6" s="5" t="s">
        <v>16</v>
      </c>
      <c r="J6" s="6"/>
    </row>
    <row r="7" customFormat="false" ht="15" hidden="false" customHeight="false" outlineLevel="0" collapsed="false">
      <c r="A7" s="4" t="n">
        <v>3</v>
      </c>
      <c r="B7" s="5" t="s">
        <v>12</v>
      </c>
      <c r="C7" s="5" t="s">
        <v>21</v>
      </c>
      <c r="D7" s="6" t="s">
        <v>22</v>
      </c>
      <c r="E7" s="4" t="n">
        <v>2</v>
      </c>
      <c r="F7" s="5" t="s">
        <v>23</v>
      </c>
      <c r="G7" s="7" t="n">
        <v>0.05</v>
      </c>
      <c r="H7" s="7" t="n">
        <f aca="false">E7*G7</f>
        <v>0.1</v>
      </c>
      <c r="I7" s="5" t="s">
        <v>16</v>
      </c>
      <c r="J7" s="6"/>
    </row>
    <row r="8" customFormat="false" ht="15" hidden="false" customHeight="false" outlineLevel="0" collapsed="false">
      <c r="A8" s="4" t="n">
        <v>4</v>
      </c>
      <c r="B8" s="5" t="s">
        <v>12</v>
      </c>
      <c r="C8" s="5" t="s">
        <v>24</v>
      </c>
      <c r="D8" s="6" t="s">
        <v>25</v>
      </c>
      <c r="E8" s="4" t="n">
        <v>1</v>
      </c>
      <c r="F8" s="5" t="s">
        <v>23</v>
      </c>
      <c r="G8" s="7" t="n">
        <v>0.15</v>
      </c>
      <c r="H8" s="7" t="n">
        <f aca="false">E8*G8</f>
        <v>0.15</v>
      </c>
      <c r="I8" s="5" t="s">
        <v>16</v>
      </c>
      <c r="J8" s="6" t="s">
        <v>26</v>
      </c>
    </row>
    <row r="9" customFormat="false" ht="22.35" hidden="false" customHeight="false" outlineLevel="0" collapsed="false">
      <c r="A9" s="8" t="n">
        <v>5</v>
      </c>
      <c r="B9" s="9" t="s">
        <v>27</v>
      </c>
      <c r="C9" s="9" t="s">
        <v>28</v>
      </c>
      <c r="D9" s="10" t="s">
        <v>29</v>
      </c>
      <c r="E9" s="8" t="n">
        <v>1</v>
      </c>
      <c r="F9" s="9" t="s">
        <v>30</v>
      </c>
      <c r="G9" s="11" t="n">
        <v>12</v>
      </c>
      <c r="H9" s="11" t="n">
        <f aca="false">E9*G9</f>
        <v>12</v>
      </c>
      <c r="I9" s="9" t="s">
        <v>16</v>
      </c>
      <c r="J9" s="10" t="s">
        <v>31</v>
      </c>
    </row>
    <row r="10" customFormat="false" ht="15" hidden="false" customHeight="false" outlineLevel="0" collapsed="false">
      <c r="A10" s="8" t="n">
        <v>6</v>
      </c>
      <c r="B10" s="9" t="s">
        <v>27</v>
      </c>
      <c r="C10" s="9" t="s">
        <v>32</v>
      </c>
      <c r="D10" s="10" t="s">
        <v>33</v>
      </c>
      <c r="E10" s="8" t="n">
        <v>1</v>
      </c>
      <c r="F10" s="9" t="s">
        <v>34</v>
      </c>
      <c r="G10" s="11" t="n">
        <v>1.5</v>
      </c>
      <c r="H10" s="11" t="n">
        <f aca="false">E10*G10</f>
        <v>1.5</v>
      </c>
      <c r="I10" s="9" t="s">
        <v>16</v>
      </c>
      <c r="J10" s="10" t="s">
        <v>35</v>
      </c>
    </row>
    <row r="11" customFormat="false" ht="15" hidden="false" customHeight="false" outlineLevel="0" collapsed="false">
      <c r="A11" s="8" t="n">
        <v>7</v>
      </c>
      <c r="B11" s="9" t="s">
        <v>27</v>
      </c>
      <c r="C11" s="9" t="s">
        <v>36</v>
      </c>
      <c r="D11" s="10" t="s">
        <v>37</v>
      </c>
      <c r="E11" s="8" t="n">
        <v>1</v>
      </c>
      <c r="F11" s="9" t="s">
        <v>30</v>
      </c>
      <c r="G11" s="11" t="n">
        <v>3</v>
      </c>
      <c r="H11" s="11" t="n">
        <f aca="false">E11*G11</f>
        <v>3</v>
      </c>
      <c r="I11" s="9" t="s">
        <v>16</v>
      </c>
      <c r="J11" s="10" t="s">
        <v>38</v>
      </c>
    </row>
    <row r="12" customFormat="false" ht="15" hidden="false" customHeight="false" outlineLevel="0" collapsed="false">
      <c r="A12" s="8" t="n">
        <v>8</v>
      </c>
      <c r="B12" s="9" t="s">
        <v>27</v>
      </c>
      <c r="C12" s="9" t="s">
        <v>39</v>
      </c>
      <c r="D12" s="10"/>
      <c r="E12" s="8" t="n">
        <v>1</v>
      </c>
      <c r="F12" s="9" t="s">
        <v>23</v>
      </c>
      <c r="G12" s="11" t="n">
        <v>0.4</v>
      </c>
      <c r="H12" s="11" t="n">
        <f aca="false">E12*G12</f>
        <v>0.4</v>
      </c>
      <c r="I12" s="9" t="s">
        <v>16</v>
      </c>
      <c r="J12" s="10"/>
    </row>
    <row r="13" customFormat="false" ht="15" hidden="false" customHeight="false" outlineLevel="0" collapsed="false">
      <c r="A13" s="8" t="n">
        <v>9</v>
      </c>
      <c r="B13" s="9" t="s">
        <v>27</v>
      </c>
      <c r="C13" s="9" t="s">
        <v>40</v>
      </c>
      <c r="D13" s="10" t="s">
        <v>41</v>
      </c>
      <c r="E13" s="8" t="n">
        <v>1</v>
      </c>
      <c r="F13" s="9" t="s">
        <v>23</v>
      </c>
      <c r="G13" s="11" t="n">
        <v>0.2</v>
      </c>
      <c r="H13" s="11" t="n">
        <f aca="false">E13*G13</f>
        <v>0.2</v>
      </c>
      <c r="I13" s="9" t="s">
        <v>16</v>
      </c>
      <c r="J13" s="10" t="s">
        <v>42</v>
      </c>
    </row>
    <row r="14" customFormat="false" ht="15" hidden="false" customHeight="false" outlineLevel="0" collapsed="false">
      <c r="A14" s="8" t="n">
        <v>10</v>
      </c>
      <c r="B14" s="9" t="s">
        <v>27</v>
      </c>
      <c r="C14" s="9" t="s">
        <v>43</v>
      </c>
      <c r="D14" s="10" t="s">
        <v>44</v>
      </c>
      <c r="E14" s="8" t="n">
        <v>1</v>
      </c>
      <c r="F14" s="9" t="s">
        <v>23</v>
      </c>
      <c r="G14" s="11" t="n">
        <v>0.3</v>
      </c>
      <c r="H14" s="11" t="n">
        <f aca="false">E14*G14</f>
        <v>0.3</v>
      </c>
      <c r="I14" s="9" t="s">
        <v>16</v>
      </c>
      <c r="J14" s="10"/>
    </row>
    <row r="15" customFormat="false" ht="15" hidden="false" customHeight="false" outlineLevel="0" collapsed="false">
      <c r="A15" s="8" t="n">
        <v>11</v>
      </c>
      <c r="B15" s="9" t="s">
        <v>27</v>
      </c>
      <c r="C15" s="9" t="s">
        <v>45</v>
      </c>
      <c r="D15" s="10" t="s">
        <v>46</v>
      </c>
      <c r="E15" s="8" t="n">
        <v>1</v>
      </c>
      <c r="F15" s="9" t="s">
        <v>23</v>
      </c>
      <c r="G15" s="11" t="n">
        <v>1.2</v>
      </c>
      <c r="H15" s="11" t="n">
        <f aca="false">E15*G15</f>
        <v>1.2</v>
      </c>
      <c r="I15" s="9" t="s">
        <v>16</v>
      </c>
      <c r="J15" s="10" t="s">
        <v>47</v>
      </c>
    </row>
    <row r="16" customFormat="false" ht="15" hidden="false" customHeight="false" outlineLevel="0" collapsed="false">
      <c r="A16" s="12" t="n">
        <v>12</v>
      </c>
      <c r="B16" s="13" t="s">
        <v>48</v>
      </c>
      <c r="C16" s="13" t="s">
        <v>49</v>
      </c>
      <c r="D16" s="14" t="s">
        <v>50</v>
      </c>
      <c r="E16" s="12" t="n">
        <v>1</v>
      </c>
      <c r="F16" s="13" t="s">
        <v>30</v>
      </c>
      <c r="G16" s="15" t="n">
        <v>4.5</v>
      </c>
      <c r="H16" s="15" t="n">
        <f aca="false">E16*G16</f>
        <v>4.5</v>
      </c>
      <c r="I16" s="13" t="s">
        <v>16</v>
      </c>
      <c r="J16" s="14" t="s">
        <v>51</v>
      </c>
    </row>
    <row r="17" customFormat="false" ht="15" hidden="false" customHeight="false" outlineLevel="0" collapsed="false">
      <c r="A17" s="12" t="n">
        <v>13</v>
      </c>
      <c r="B17" s="13" t="s">
        <v>48</v>
      </c>
      <c r="C17" s="13" t="s">
        <v>52</v>
      </c>
      <c r="D17" s="14" t="s">
        <v>53</v>
      </c>
      <c r="E17" s="12" t="n">
        <v>1</v>
      </c>
      <c r="F17" s="13" t="s">
        <v>23</v>
      </c>
      <c r="G17" s="15" t="n">
        <v>0.6</v>
      </c>
      <c r="H17" s="15" t="n">
        <f aca="false">E17*G17</f>
        <v>0.6</v>
      </c>
      <c r="I17" s="13" t="s">
        <v>16</v>
      </c>
      <c r="J17" s="14" t="s">
        <v>54</v>
      </c>
    </row>
    <row r="18" customFormat="false" ht="15" hidden="false" customHeight="false" outlineLevel="0" collapsed="false">
      <c r="A18" s="12" t="n">
        <v>14</v>
      </c>
      <c r="B18" s="13" t="s">
        <v>48</v>
      </c>
      <c r="C18" s="13" t="s">
        <v>55</v>
      </c>
      <c r="D18" s="14" t="s">
        <v>56</v>
      </c>
      <c r="E18" s="12" t="n">
        <v>1</v>
      </c>
      <c r="F18" s="13" t="s">
        <v>34</v>
      </c>
      <c r="G18" s="15" t="n">
        <v>3.5</v>
      </c>
      <c r="H18" s="15" t="n">
        <f aca="false">E18*G18</f>
        <v>3.5</v>
      </c>
      <c r="I18" s="13" t="s">
        <v>16</v>
      </c>
      <c r="J18" s="14" t="s">
        <v>57</v>
      </c>
    </row>
    <row r="19" customFormat="false" ht="15" hidden="false" customHeight="false" outlineLevel="0" collapsed="false">
      <c r="A19" s="12" t="n">
        <v>15</v>
      </c>
      <c r="B19" s="13" t="s">
        <v>48</v>
      </c>
      <c r="C19" s="13" t="s">
        <v>58</v>
      </c>
      <c r="D19" s="14" t="s">
        <v>59</v>
      </c>
      <c r="E19" s="12" t="n">
        <v>1</v>
      </c>
      <c r="F19" s="13" t="s">
        <v>30</v>
      </c>
      <c r="G19" s="15" t="n">
        <v>1.8</v>
      </c>
      <c r="H19" s="15" t="n">
        <f aca="false">E19*G19</f>
        <v>1.8</v>
      </c>
      <c r="I19" s="13" t="s">
        <v>16</v>
      </c>
      <c r="J19" s="14"/>
    </row>
    <row r="20" customFormat="false" ht="15" hidden="false" customHeight="false" outlineLevel="0" collapsed="false">
      <c r="A20" s="12" t="n">
        <v>16</v>
      </c>
      <c r="B20" s="13" t="s">
        <v>48</v>
      </c>
      <c r="C20" s="13" t="s">
        <v>60</v>
      </c>
      <c r="D20" s="14" t="s">
        <v>61</v>
      </c>
      <c r="E20" s="12" t="n">
        <v>1</v>
      </c>
      <c r="F20" s="13" t="s">
        <v>23</v>
      </c>
      <c r="G20" s="15" t="n">
        <v>0.5</v>
      </c>
      <c r="H20" s="15" t="n">
        <f aca="false">E20*G20</f>
        <v>0.5</v>
      </c>
      <c r="I20" s="13" t="s">
        <v>16</v>
      </c>
      <c r="J20" s="14"/>
    </row>
    <row r="21" customFormat="false" ht="15" hidden="false" customHeight="false" outlineLevel="0" collapsed="false">
      <c r="A21" s="12" t="n">
        <v>17</v>
      </c>
      <c r="B21" s="13" t="s">
        <v>48</v>
      </c>
      <c r="C21" s="13" t="s">
        <v>62</v>
      </c>
      <c r="D21" s="14" t="s">
        <v>63</v>
      </c>
      <c r="E21" s="12" t="n">
        <v>1</v>
      </c>
      <c r="F21" s="13" t="s">
        <v>34</v>
      </c>
      <c r="G21" s="15" t="n">
        <v>4</v>
      </c>
      <c r="H21" s="15" t="n">
        <f aca="false">E21*G21</f>
        <v>4</v>
      </c>
      <c r="I21" s="16" t="s">
        <v>64</v>
      </c>
      <c r="J21" s="14" t="s">
        <v>65</v>
      </c>
    </row>
    <row r="22" customFormat="false" ht="15" hidden="false" customHeight="false" outlineLevel="0" collapsed="false">
      <c r="A22" s="12" t="n">
        <v>18</v>
      </c>
      <c r="B22" s="13" t="s">
        <v>48</v>
      </c>
      <c r="C22" s="13" t="s">
        <v>66</v>
      </c>
      <c r="D22" s="14" t="s">
        <v>67</v>
      </c>
      <c r="E22" s="12" t="n">
        <v>1</v>
      </c>
      <c r="F22" s="13" t="s">
        <v>34</v>
      </c>
      <c r="G22" s="15" t="n">
        <v>1.2</v>
      </c>
      <c r="H22" s="15" t="n">
        <f aca="false">E22*G22</f>
        <v>1.2</v>
      </c>
      <c r="I22" s="13" t="s">
        <v>16</v>
      </c>
      <c r="J22" s="14"/>
    </row>
    <row r="23" customFormat="false" ht="15" hidden="false" customHeight="false" outlineLevel="0" collapsed="false">
      <c r="A23" s="17" t="n">
        <v>19</v>
      </c>
      <c r="B23" s="18" t="s">
        <v>68</v>
      </c>
      <c r="C23" s="18" t="s">
        <v>69</v>
      </c>
      <c r="D23" s="19" t="s">
        <v>70</v>
      </c>
      <c r="E23" s="17" t="n">
        <v>1</v>
      </c>
      <c r="F23" s="18" t="s">
        <v>34</v>
      </c>
      <c r="G23" s="20" t="n">
        <v>2.2</v>
      </c>
      <c r="H23" s="20" t="n">
        <f aca="false">E23*G23</f>
        <v>2.2</v>
      </c>
      <c r="I23" s="18" t="s">
        <v>16</v>
      </c>
      <c r="J23" s="19" t="s">
        <v>71</v>
      </c>
    </row>
    <row r="24" customFormat="false" ht="15" hidden="false" customHeight="false" outlineLevel="0" collapsed="false">
      <c r="A24" s="17" t="n">
        <v>20</v>
      </c>
      <c r="B24" s="18" t="s">
        <v>68</v>
      </c>
      <c r="C24" s="18" t="s">
        <v>72</v>
      </c>
      <c r="D24" s="19" t="s">
        <v>73</v>
      </c>
      <c r="E24" s="17" t="n">
        <v>1</v>
      </c>
      <c r="F24" s="18" t="s">
        <v>20</v>
      </c>
      <c r="G24" s="20" t="n">
        <v>2.5</v>
      </c>
      <c r="H24" s="20" t="n">
        <f aca="false">E24*G24</f>
        <v>2.5</v>
      </c>
      <c r="I24" s="18" t="s">
        <v>16</v>
      </c>
      <c r="J24" s="19" t="s">
        <v>74</v>
      </c>
    </row>
    <row r="25" customFormat="false" ht="15" hidden="false" customHeight="false" outlineLevel="0" collapsed="false">
      <c r="A25" s="17" t="n">
        <v>21</v>
      </c>
      <c r="B25" s="18" t="s">
        <v>68</v>
      </c>
      <c r="C25" s="18" t="s">
        <v>75</v>
      </c>
      <c r="D25" s="19" t="s">
        <v>76</v>
      </c>
      <c r="E25" s="17" t="n">
        <v>1</v>
      </c>
      <c r="F25" s="18" t="s">
        <v>30</v>
      </c>
      <c r="G25" s="20" t="n">
        <v>22</v>
      </c>
      <c r="H25" s="20" t="n">
        <f aca="false">E25*G25</f>
        <v>22</v>
      </c>
      <c r="I25" s="18" t="s">
        <v>16</v>
      </c>
      <c r="J25" s="19" t="s">
        <v>77</v>
      </c>
    </row>
    <row r="26" customFormat="false" ht="15" hidden="false" customHeight="false" outlineLevel="0" collapsed="false">
      <c r="A26" s="17" t="n">
        <v>22</v>
      </c>
      <c r="B26" s="18" t="s">
        <v>68</v>
      </c>
      <c r="C26" s="18" t="s">
        <v>78</v>
      </c>
      <c r="D26" s="19" t="s">
        <v>79</v>
      </c>
      <c r="E26" s="17" t="n">
        <v>1</v>
      </c>
      <c r="F26" s="18" t="s">
        <v>23</v>
      </c>
      <c r="G26" s="20" t="n">
        <v>0.6</v>
      </c>
      <c r="H26" s="20" t="n">
        <f aca="false">E26*G26</f>
        <v>0.6</v>
      </c>
      <c r="I26" s="18" t="s">
        <v>16</v>
      </c>
      <c r="J26" s="19" t="s">
        <v>80</v>
      </c>
    </row>
    <row r="27" customFormat="false" ht="15" hidden="false" customHeight="false" outlineLevel="0" collapsed="false">
      <c r="A27" s="17" t="n">
        <v>23</v>
      </c>
      <c r="B27" s="18" t="s">
        <v>68</v>
      </c>
      <c r="C27" s="18" t="s">
        <v>81</v>
      </c>
      <c r="D27" s="19" t="s">
        <v>82</v>
      </c>
      <c r="E27" s="17" t="n">
        <v>1</v>
      </c>
      <c r="F27" s="18" t="s">
        <v>23</v>
      </c>
      <c r="G27" s="20" t="n">
        <v>0.5</v>
      </c>
      <c r="H27" s="20" t="n">
        <f aca="false">E27*G27</f>
        <v>0.5</v>
      </c>
      <c r="I27" s="18" t="s">
        <v>16</v>
      </c>
      <c r="J27" s="19" t="s">
        <v>83</v>
      </c>
    </row>
    <row r="28" customFormat="false" ht="15" hidden="false" customHeight="false" outlineLevel="0" collapsed="false">
      <c r="A28" s="21" t="n">
        <v>24</v>
      </c>
      <c r="B28" s="22" t="s">
        <v>84</v>
      </c>
      <c r="C28" s="22" t="s">
        <v>85</v>
      </c>
      <c r="D28" s="23" t="s">
        <v>86</v>
      </c>
      <c r="E28" s="21" t="n">
        <v>2</v>
      </c>
      <c r="F28" s="22" t="s">
        <v>34</v>
      </c>
      <c r="G28" s="24" t="n">
        <v>0.9</v>
      </c>
      <c r="H28" s="24" t="n">
        <f aca="false">E28*G28</f>
        <v>1.8</v>
      </c>
      <c r="I28" s="22" t="s">
        <v>16</v>
      </c>
      <c r="J28" s="23" t="s">
        <v>87</v>
      </c>
    </row>
    <row r="29" customFormat="false" ht="15" hidden="false" customHeight="false" outlineLevel="0" collapsed="false">
      <c r="A29" s="21" t="n">
        <v>25</v>
      </c>
      <c r="B29" s="22" t="s">
        <v>84</v>
      </c>
      <c r="C29" s="22" t="s">
        <v>88</v>
      </c>
      <c r="D29" s="23" t="s">
        <v>89</v>
      </c>
      <c r="E29" s="21" t="n">
        <v>1</v>
      </c>
      <c r="F29" s="22" t="s">
        <v>23</v>
      </c>
      <c r="G29" s="24" t="n">
        <v>1</v>
      </c>
      <c r="H29" s="24" t="n">
        <f aca="false">E29*G29</f>
        <v>1</v>
      </c>
      <c r="I29" s="22" t="s">
        <v>16</v>
      </c>
      <c r="J29" s="23"/>
    </row>
    <row r="30" customFormat="false" ht="15" hidden="false" customHeight="false" outlineLevel="0" collapsed="false">
      <c r="A30" s="25" t="n">
        <v>26</v>
      </c>
      <c r="B30" s="26" t="s">
        <v>90</v>
      </c>
      <c r="C30" s="26" t="s">
        <v>91</v>
      </c>
      <c r="D30" s="27" t="s">
        <v>92</v>
      </c>
      <c r="E30" s="25" t="n">
        <v>1</v>
      </c>
      <c r="F30" s="26" t="s">
        <v>34</v>
      </c>
      <c r="G30" s="28" t="n">
        <v>3</v>
      </c>
      <c r="H30" s="28" t="n">
        <f aca="false">E30*G30</f>
        <v>3</v>
      </c>
      <c r="I30" s="29" t="s">
        <v>64</v>
      </c>
      <c r="J30" s="27" t="s">
        <v>93</v>
      </c>
    </row>
    <row r="31" customFormat="false" ht="15" hidden="false" customHeight="false" outlineLevel="0" collapsed="false">
      <c r="A31" s="30" t="n">
        <v>27</v>
      </c>
      <c r="B31" s="31" t="s">
        <v>94</v>
      </c>
      <c r="C31" s="31" t="s">
        <v>95</v>
      </c>
      <c r="D31" s="32" t="s">
        <v>96</v>
      </c>
      <c r="E31" s="30" t="n">
        <v>1</v>
      </c>
      <c r="F31" s="31" t="s">
        <v>20</v>
      </c>
      <c r="G31" s="33" t="n">
        <v>1.8</v>
      </c>
      <c r="H31" s="33" t="n">
        <f aca="false">E31*G31</f>
        <v>1.8</v>
      </c>
      <c r="I31" s="31" t="s">
        <v>16</v>
      </c>
      <c r="J31" s="32" t="s">
        <v>97</v>
      </c>
    </row>
    <row r="32" customFormat="false" ht="15" hidden="false" customHeight="false" outlineLevel="0" collapsed="false">
      <c r="A32" s="30" t="n">
        <v>28</v>
      </c>
      <c r="B32" s="31" t="s">
        <v>94</v>
      </c>
      <c r="C32" s="31" t="s">
        <v>98</v>
      </c>
      <c r="D32" s="32" t="s">
        <v>99</v>
      </c>
      <c r="E32" s="30" t="n">
        <v>1</v>
      </c>
      <c r="F32" s="31" t="s">
        <v>23</v>
      </c>
      <c r="G32" s="33" t="n">
        <v>0.4</v>
      </c>
      <c r="H32" s="33" t="n">
        <f aca="false">E32*G32</f>
        <v>0.4</v>
      </c>
      <c r="I32" s="31" t="s">
        <v>16</v>
      </c>
      <c r="J32" s="32"/>
    </row>
    <row r="33" customFormat="false" ht="15" hidden="false" customHeight="false" outlineLevel="0" collapsed="false">
      <c r="A33" s="34" t="n">
        <v>29</v>
      </c>
      <c r="B33" s="35" t="s">
        <v>100</v>
      </c>
      <c r="C33" s="35" t="s">
        <v>101</v>
      </c>
      <c r="D33" s="36" t="s">
        <v>102</v>
      </c>
      <c r="E33" s="34" t="n">
        <v>1</v>
      </c>
      <c r="F33" s="35" t="s">
        <v>20</v>
      </c>
      <c r="G33" s="37" t="n">
        <v>0.5</v>
      </c>
      <c r="H33" s="37" t="n">
        <f aca="false">E33*G33</f>
        <v>0.5</v>
      </c>
      <c r="I33" s="35" t="s">
        <v>16</v>
      </c>
      <c r="J33" s="36"/>
    </row>
    <row r="34" customFormat="false" ht="15" hidden="false" customHeight="false" outlineLevel="0" collapsed="false">
      <c r="A34" s="34" t="n">
        <v>30</v>
      </c>
      <c r="B34" s="35" t="s">
        <v>100</v>
      </c>
      <c r="C34" s="35" t="s">
        <v>103</v>
      </c>
      <c r="D34" s="36" t="s">
        <v>104</v>
      </c>
      <c r="E34" s="34" t="n">
        <v>1</v>
      </c>
      <c r="F34" s="35" t="s">
        <v>20</v>
      </c>
      <c r="G34" s="37" t="n">
        <v>0.4</v>
      </c>
      <c r="H34" s="37" t="n">
        <f aca="false">E34*G34</f>
        <v>0.4</v>
      </c>
      <c r="I34" s="35" t="s">
        <v>16</v>
      </c>
      <c r="J34" s="36"/>
    </row>
    <row r="35" customFormat="false" ht="15" hidden="false" customHeight="false" outlineLevel="0" collapsed="false">
      <c r="A35" s="34" t="n">
        <v>31</v>
      </c>
      <c r="B35" s="35" t="s">
        <v>100</v>
      </c>
      <c r="C35" s="35" t="s">
        <v>105</v>
      </c>
      <c r="D35" s="36" t="s">
        <v>106</v>
      </c>
      <c r="E35" s="34" t="n">
        <v>1</v>
      </c>
      <c r="F35" s="35" t="s">
        <v>20</v>
      </c>
      <c r="G35" s="37" t="n">
        <v>0.5</v>
      </c>
      <c r="H35" s="37" t="n">
        <f aca="false">E35*G35</f>
        <v>0.5</v>
      </c>
      <c r="I35" s="35" t="s">
        <v>16</v>
      </c>
      <c r="J35" s="36"/>
    </row>
    <row r="36" customFormat="false" ht="15" hidden="false" customHeight="false" outlineLevel="0" collapsed="false">
      <c r="A36" s="34" t="n">
        <v>32</v>
      </c>
      <c r="B36" s="35" t="s">
        <v>100</v>
      </c>
      <c r="C36" s="35" t="s">
        <v>107</v>
      </c>
      <c r="D36" s="36" t="s">
        <v>108</v>
      </c>
      <c r="E36" s="34" t="n">
        <v>1</v>
      </c>
      <c r="F36" s="35" t="s">
        <v>20</v>
      </c>
      <c r="G36" s="37" t="n">
        <v>0.4</v>
      </c>
      <c r="H36" s="37" t="n">
        <f aca="false">E36*G36</f>
        <v>0.4</v>
      </c>
      <c r="I36" s="35" t="s">
        <v>16</v>
      </c>
      <c r="J36" s="36"/>
    </row>
    <row r="37" customFormat="false" ht="15" hidden="false" customHeight="false" outlineLevel="0" collapsed="false">
      <c r="A37" s="34" t="n">
        <v>33</v>
      </c>
      <c r="B37" s="35" t="s">
        <v>100</v>
      </c>
      <c r="C37" s="35" t="s">
        <v>109</v>
      </c>
      <c r="D37" s="36" t="s">
        <v>110</v>
      </c>
      <c r="E37" s="34" t="n">
        <v>1</v>
      </c>
      <c r="F37" s="35" t="s">
        <v>20</v>
      </c>
      <c r="G37" s="37" t="n">
        <v>1</v>
      </c>
      <c r="H37" s="37" t="n">
        <f aca="false">E37*G37</f>
        <v>1</v>
      </c>
      <c r="I37" s="35" t="s">
        <v>16</v>
      </c>
      <c r="J37" s="36"/>
    </row>
    <row r="38" customFormat="false" ht="15" hidden="false" customHeight="false" outlineLevel="0" collapsed="false">
      <c r="A38" s="34" t="n">
        <v>34</v>
      </c>
      <c r="B38" s="35" t="s">
        <v>100</v>
      </c>
      <c r="C38" s="35" t="s">
        <v>105</v>
      </c>
      <c r="D38" s="36" t="s">
        <v>111</v>
      </c>
      <c r="E38" s="34" t="n">
        <v>1</v>
      </c>
      <c r="F38" s="35" t="s">
        <v>20</v>
      </c>
      <c r="G38" s="37" t="n">
        <v>0.5</v>
      </c>
      <c r="H38" s="37" t="n">
        <f aca="false">E38*G38</f>
        <v>0.5</v>
      </c>
      <c r="I38" s="38" t="s">
        <v>64</v>
      </c>
      <c r="J38" s="36"/>
    </row>
    <row r="39" customFormat="false" ht="15" hidden="false" customHeight="false" outlineLevel="0" collapsed="false">
      <c r="A39" s="34" t="n">
        <v>35</v>
      </c>
      <c r="B39" s="35" t="s">
        <v>100</v>
      </c>
      <c r="C39" s="35" t="s">
        <v>112</v>
      </c>
      <c r="D39" s="36" t="s">
        <v>113</v>
      </c>
      <c r="E39" s="34" t="n">
        <v>1</v>
      </c>
      <c r="F39" s="35" t="s">
        <v>23</v>
      </c>
      <c r="G39" s="37" t="n">
        <v>0.3</v>
      </c>
      <c r="H39" s="37" t="n">
        <f aca="false">E39*G39</f>
        <v>0.3</v>
      </c>
      <c r="I39" s="35" t="s">
        <v>16</v>
      </c>
      <c r="J39" s="36"/>
    </row>
    <row r="40" customFormat="false" ht="22.35" hidden="false" customHeight="false" outlineLevel="0" collapsed="false">
      <c r="A40" s="39" t="n">
        <v>36</v>
      </c>
      <c r="B40" s="40" t="s">
        <v>114</v>
      </c>
      <c r="C40" s="40" t="s">
        <v>115</v>
      </c>
      <c r="D40" s="41" t="s">
        <v>116</v>
      </c>
      <c r="E40" s="39" t="n">
        <v>1</v>
      </c>
      <c r="F40" s="40" t="s">
        <v>117</v>
      </c>
      <c r="G40" s="42" t="n">
        <v>6</v>
      </c>
      <c r="H40" s="42" t="n">
        <f aca="false">E40*G40</f>
        <v>6</v>
      </c>
      <c r="I40" s="40" t="s">
        <v>16</v>
      </c>
      <c r="J40" s="41" t="s">
        <v>118</v>
      </c>
    </row>
    <row r="41" customFormat="false" ht="15" hidden="false" customHeight="false" outlineLevel="0" collapsed="false">
      <c r="A41" s="39" t="n">
        <v>37</v>
      </c>
      <c r="B41" s="40" t="s">
        <v>114</v>
      </c>
      <c r="C41" s="40" t="s">
        <v>119</v>
      </c>
      <c r="D41" s="41" t="s">
        <v>120</v>
      </c>
      <c r="E41" s="39" t="n">
        <v>1</v>
      </c>
      <c r="F41" s="40" t="s">
        <v>20</v>
      </c>
      <c r="G41" s="42" t="n">
        <v>5</v>
      </c>
      <c r="H41" s="42" t="n">
        <f aca="false">E41*G41</f>
        <v>5</v>
      </c>
      <c r="I41" s="40" t="s">
        <v>16</v>
      </c>
      <c r="J41" s="41" t="s">
        <v>121</v>
      </c>
    </row>
    <row r="42" customFormat="false" ht="15" hidden="false" customHeight="false" outlineLevel="0" collapsed="false">
      <c r="A42" s="39" t="n">
        <v>38</v>
      </c>
      <c r="B42" s="40" t="s">
        <v>114</v>
      </c>
      <c r="C42" s="40" t="s">
        <v>122</v>
      </c>
      <c r="D42" s="41" t="s">
        <v>123</v>
      </c>
      <c r="E42" s="39" t="n">
        <v>1</v>
      </c>
      <c r="F42" s="40" t="s">
        <v>23</v>
      </c>
      <c r="G42" s="42" t="n">
        <v>0.5</v>
      </c>
      <c r="H42" s="42" t="n">
        <f aca="false">E42*G42</f>
        <v>0.5</v>
      </c>
      <c r="I42" s="40" t="s">
        <v>16</v>
      </c>
      <c r="J42" s="41"/>
    </row>
    <row r="43" customFormat="false" ht="15" hidden="false" customHeight="false" outlineLevel="0" collapsed="false">
      <c r="A43" s="39" t="n">
        <v>39</v>
      </c>
      <c r="B43" s="40" t="s">
        <v>114</v>
      </c>
      <c r="C43" s="40" t="s">
        <v>124</v>
      </c>
      <c r="D43" s="41" t="s">
        <v>125</v>
      </c>
      <c r="E43" s="39" t="n">
        <v>1</v>
      </c>
      <c r="F43" s="40" t="s">
        <v>126</v>
      </c>
      <c r="G43" s="42" t="n">
        <v>0.4</v>
      </c>
      <c r="H43" s="42" t="n">
        <f aca="false">E43*G43</f>
        <v>0.4</v>
      </c>
      <c r="I43" s="40" t="s">
        <v>16</v>
      </c>
      <c r="J43" s="41"/>
    </row>
    <row r="44" customFormat="false" ht="22.35" hidden="false" customHeight="false" outlineLevel="0" collapsed="false">
      <c r="A44" s="43" t="n">
        <v>40</v>
      </c>
      <c r="B44" s="44" t="s">
        <v>127</v>
      </c>
      <c r="C44" s="44" t="s">
        <v>128</v>
      </c>
      <c r="D44" s="45" t="s">
        <v>129</v>
      </c>
      <c r="E44" s="43" t="n">
        <v>1</v>
      </c>
      <c r="F44" s="44" t="s">
        <v>23</v>
      </c>
      <c r="G44" s="46" t="n">
        <v>2.5</v>
      </c>
      <c r="H44" s="46" t="n">
        <f aca="false">E44*G44</f>
        <v>2.5</v>
      </c>
      <c r="I44" s="44" t="s">
        <v>16</v>
      </c>
      <c r="J44" s="45"/>
    </row>
    <row r="45" customFormat="false" ht="15" hidden="false" customHeight="false" outlineLevel="0" collapsed="false">
      <c r="A45" s="47" t="n">
        <v>41</v>
      </c>
      <c r="B45" s="48" t="s">
        <v>130</v>
      </c>
      <c r="C45" s="48" t="s">
        <v>131</v>
      </c>
      <c r="D45" s="49" t="s">
        <v>132</v>
      </c>
      <c r="E45" s="47" t="n">
        <v>2</v>
      </c>
      <c r="F45" s="48" t="s">
        <v>34</v>
      </c>
      <c r="G45" s="50" t="n">
        <v>3</v>
      </c>
      <c r="H45" s="50" t="n">
        <f aca="false">E45*G45</f>
        <v>6</v>
      </c>
      <c r="I45" s="51" t="s">
        <v>130</v>
      </c>
      <c r="J45" s="49" t="s">
        <v>133</v>
      </c>
    </row>
    <row r="46" customFormat="false" ht="22.35" hidden="false" customHeight="false" outlineLevel="0" collapsed="false">
      <c r="A46" s="47" t="n">
        <v>42</v>
      </c>
      <c r="B46" s="48" t="s">
        <v>130</v>
      </c>
      <c r="C46" s="48" t="s">
        <v>134</v>
      </c>
      <c r="D46" s="49" t="s">
        <v>135</v>
      </c>
      <c r="E46" s="47" t="n">
        <v>1</v>
      </c>
      <c r="F46" s="48" t="s">
        <v>136</v>
      </c>
      <c r="G46" s="50" t="n">
        <v>35</v>
      </c>
      <c r="H46" s="50" t="n">
        <f aca="false">E46*G46</f>
        <v>35</v>
      </c>
      <c r="I46" s="51" t="s">
        <v>130</v>
      </c>
      <c r="J46" s="49" t="s">
        <v>137</v>
      </c>
    </row>
    <row r="47" customFormat="false" ht="15" hidden="false" customHeight="false" outlineLevel="0" collapsed="false">
      <c r="A47" s="47" t="n">
        <v>43</v>
      </c>
      <c r="B47" s="48" t="s">
        <v>130</v>
      </c>
      <c r="C47" s="48" t="s">
        <v>138</v>
      </c>
      <c r="D47" s="49" t="s">
        <v>139</v>
      </c>
      <c r="E47" s="47" t="n">
        <v>1</v>
      </c>
      <c r="F47" s="48" t="s">
        <v>20</v>
      </c>
      <c r="G47" s="50" t="n">
        <v>1</v>
      </c>
      <c r="H47" s="50" t="n">
        <f aca="false">E47*G47</f>
        <v>1</v>
      </c>
      <c r="I47" s="51" t="s">
        <v>130</v>
      </c>
      <c r="J47" s="49" t="s">
        <v>140</v>
      </c>
    </row>
    <row r="48" customFormat="false" ht="15" hidden="false" customHeight="false" outlineLevel="0" collapsed="false">
      <c r="A48" s="47" t="n">
        <v>44</v>
      </c>
      <c r="B48" s="48" t="s">
        <v>130</v>
      </c>
      <c r="C48" s="48" t="s">
        <v>141</v>
      </c>
      <c r="D48" s="49" t="s">
        <v>142</v>
      </c>
      <c r="E48" s="47" t="n">
        <v>1</v>
      </c>
      <c r="F48" s="48" t="s">
        <v>20</v>
      </c>
      <c r="G48" s="50" t="n">
        <v>3</v>
      </c>
      <c r="H48" s="50" t="n">
        <f aca="false">E48*G48</f>
        <v>3</v>
      </c>
      <c r="I48" s="51" t="s">
        <v>130</v>
      </c>
      <c r="J48" s="49"/>
    </row>
    <row r="49" customFormat="false" ht="15" hidden="false" customHeight="false" outlineLevel="0" collapsed="false">
      <c r="A49" s="47" t="n">
        <v>45</v>
      </c>
      <c r="B49" s="48" t="s">
        <v>130</v>
      </c>
      <c r="C49" s="48" t="s">
        <v>143</v>
      </c>
      <c r="D49" s="49" t="s">
        <v>144</v>
      </c>
      <c r="E49" s="47" t="n">
        <v>1</v>
      </c>
      <c r="F49" s="48" t="s">
        <v>20</v>
      </c>
      <c r="G49" s="50" t="n">
        <v>8</v>
      </c>
      <c r="H49" s="50" t="n">
        <f aca="false">E49*G49</f>
        <v>8</v>
      </c>
      <c r="I49" s="51" t="s">
        <v>130</v>
      </c>
      <c r="J49" s="49" t="s">
        <v>145</v>
      </c>
    </row>
    <row r="51" customFormat="false" ht="15" hidden="false" customHeight="false" outlineLevel="0" collapsed="false">
      <c r="A51" s="52" t="s">
        <v>146</v>
      </c>
      <c r="B51" s="52"/>
      <c r="C51" s="52"/>
      <c r="D51" s="52"/>
      <c r="E51" s="52"/>
      <c r="F51" s="52"/>
      <c r="G51" s="52"/>
      <c r="H51" s="53" t="n">
        <f aca="false">SUMIF($I$5:$I$49,"Placa",$H$5:$H$49)</f>
        <v>86.55</v>
      </c>
      <c r="I51" s="54"/>
      <c r="J51" s="54"/>
    </row>
    <row r="52" customFormat="false" ht="15" hidden="false" customHeight="false" outlineLevel="0" collapsed="false">
      <c r="A52" s="55" t="s">
        <v>147</v>
      </c>
      <c r="B52" s="55"/>
      <c r="C52" s="55"/>
      <c r="D52" s="55"/>
      <c r="E52" s="55"/>
      <c r="F52" s="55"/>
      <c r="G52" s="55"/>
      <c r="H52" s="56" t="n">
        <f aca="false">SUMIF($I$5:$I$49,"Campo",$H$5:$H$49)</f>
        <v>53</v>
      </c>
      <c r="I52" s="57"/>
      <c r="J52" s="57"/>
    </row>
    <row r="53" customFormat="false" ht="15" hidden="false" customHeight="false" outlineLevel="0" collapsed="false">
      <c r="A53" s="58" t="s">
        <v>148</v>
      </c>
      <c r="B53" s="58"/>
      <c r="C53" s="58"/>
      <c r="D53" s="58"/>
      <c r="E53" s="58"/>
      <c r="F53" s="58"/>
      <c r="G53" s="58"/>
      <c r="H53" s="59" t="n">
        <f aca="false">SUMIF($I$5:$I$49,"DNP",$H$5:$H$49)</f>
        <v>7.5</v>
      </c>
      <c r="I53" s="60"/>
      <c r="J53" s="60"/>
    </row>
    <row r="54" customFormat="false" ht="15" hidden="false" customHeight="false" outlineLevel="0" collapsed="false">
      <c r="A54" s="61" t="s">
        <v>149</v>
      </c>
      <c r="B54" s="61"/>
      <c r="C54" s="61"/>
      <c r="D54" s="61"/>
      <c r="E54" s="61"/>
      <c r="F54" s="61"/>
      <c r="G54" s="61"/>
      <c r="H54" s="62" t="n">
        <f aca="false">SUMIF($I$5:$I$49,"Placa",$H$5:$H$49)+SUMIF($I$5:$I$49,"Campo",$H$5:$H$49)</f>
        <v>139.55</v>
      </c>
      <c r="I54" s="63"/>
      <c r="J54" s="63"/>
    </row>
    <row r="56" customFormat="false" ht="30" hidden="false" customHeight="true" outlineLevel="0" collapsed="false">
      <c r="A56" s="64" t="s">
        <v>150</v>
      </c>
      <c r="B56" s="64"/>
      <c r="C56" s="64"/>
      <c r="D56" s="64"/>
      <c r="E56" s="64"/>
      <c r="F56" s="64"/>
      <c r="G56" s="64"/>
      <c r="H56" s="64"/>
      <c r="I56" s="64"/>
      <c r="J56" s="64"/>
    </row>
  </sheetData>
  <mergeCells count="7">
    <mergeCell ref="A1:J1"/>
    <mergeCell ref="A2:J2"/>
    <mergeCell ref="A51:G51"/>
    <mergeCell ref="A52:G52"/>
    <mergeCell ref="A53:G53"/>
    <mergeCell ref="A54:G54"/>
    <mergeCell ref="A56:J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A1" s="65" t="s">
        <v>151</v>
      </c>
    </row>
    <row r="2" customFormat="false" ht="15" hidden="false" customHeight="false" outlineLevel="0" collapsed="false">
      <c r="A2" s="66"/>
    </row>
    <row r="3" customFormat="false" ht="21.75" hidden="false" customHeight="true" outlineLevel="0" collapsed="false">
      <c r="A3" s="67" t="s">
        <v>152</v>
      </c>
    </row>
    <row r="4" customFormat="false" ht="23.85" hidden="false" customHeight="false" outlineLevel="0" collapsed="false">
      <c r="A4" s="66" t="s">
        <v>153</v>
      </c>
    </row>
    <row r="5" customFormat="false" ht="23.85" hidden="false" customHeight="false" outlineLevel="0" collapsed="false">
      <c r="A5" s="66" t="s">
        <v>154</v>
      </c>
    </row>
    <row r="6" customFormat="false" ht="23.85" hidden="false" customHeight="false" outlineLevel="0" collapsed="false">
      <c r="A6" s="66" t="s">
        <v>155</v>
      </c>
    </row>
    <row r="7" customFormat="false" ht="23.85" hidden="false" customHeight="false" outlineLevel="0" collapsed="false">
      <c r="A7" s="66" t="s">
        <v>156</v>
      </c>
    </row>
    <row r="8" customFormat="false" ht="15" hidden="false" customHeight="false" outlineLevel="0" collapsed="false">
      <c r="A8" s="66" t="s">
        <v>157</v>
      </c>
    </row>
    <row r="9" customFormat="false" ht="23.85" hidden="false" customHeight="false" outlineLevel="0" collapsed="false">
      <c r="A9" s="66" t="s">
        <v>158</v>
      </c>
    </row>
    <row r="10" customFormat="false" ht="15" hidden="false" customHeight="false" outlineLevel="0" collapsed="false">
      <c r="A10" s="66"/>
    </row>
    <row r="11" customFormat="false" ht="21.75" hidden="false" customHeight="true" outlineLevel="0" collapsed="false">
      <c r="A11" s="67" t="s">
        <v>159</v>
      </c>
    </row>
    <row r="12" customFormat="false" ht="15" hidden="false" customHeight="false" outlineLevel="0" collapsed="false">
      <c r="A12" s="66" t="s">
        <v>160</v>
      </c>
    </row>
    <row r="13" customFormat="false" ht="15" hidden="false" customHeight="false" outlineLevel="0" collapsed="false">
      <c r="A13" s="66" t="s">
        <v>161</v>
      </c>
    </row>
    <row r="14" customFormat="false" ht="15" hidden="false" customHeight="false" outlineLevel="0" collapsed="false">
      <c r="A14" s="66" t="s">
        <v>162</v>
      </c>
    </row>
    <row r="15" customFormat="false" ht="15" hidden="false" customHeight="false" outlineLevel="0" collapsed="false">
      <c r="A15" s="66"/>
    </row>
    <row r="16" customFormat="false" ht="21.75" hidden="false" customHeight="true" outlineLevel="0" collapsed="false">
      <c r="A16" s="68" t="s">
        <v>163</v>
      </c>
    </row>
    <row r="17" customFormat="false" ht="23.85" hidden="false" customHeight="false" outlineLevel="0" collapsed="false">
      <c r="A17" s="66" t="s">
        <v>164</v>
      </c>
    </row>
    <row r="18" customFormat="false" ht="15" hidden="false" customHeight="false" outlineLevel="0" collapsed="false">
      <c r="A18" s="66" t="s">
        <v>165</v>
      </c>
    </row>
    <row r="19" customFormat="false" ht="15" hidden="false" customHeight="false" outlineLevel="0" collapsed="false">
      <c r="A19" s="66" t="s">
        <v>166</v>
      </c>
    </row>
    <row r="20" customFormat="false" ht="15" hidden="false" customHeight="false" outlineLevel="0" collapsed="false">
      <c r="A20" s="66" t="s">
        <v>167</v>
      </c>
    </row>
    <row r="21" customFormat="false" ht="15" hidden="false" customHeight="false" outlineLevel="0" collapsed="false">
      <c r="A21" s="66"/>
    </row>
    <row r="22" customFormat="false" ht="22.35" hidden="false" customHeight="false" outlineLevel="0" collapsed="false">
      <c r="A22" s="69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2026-05-23T16:34:24Z</dcterms:created>
  <dc:creator>openpyxl</dc:creator>
  <dc:description/>
  <dc:language>en-US</dc:language>
  <cp:lastModifiedBy/>
  <dcterms:modified xsi:type="dcterms:W3CDTF">2026-05-23T16:34:24Z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